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Out - Result" sheetId="1" r:id="rId1"/>
    <sheet name="Out - Coverage Analysis" sheetId="2" r:id="rId2"/>
    <sheet name="Out - Ledger Totals" sheetId="3" r:id="rId3"/>
    <sheet name="Out - Ledger Summary" sheetId="4" r:id="rId4"/>
    <sheet name="Out - Fee Totals" sheetId="5" r:id="rId5"/>
    <sheet name="Out - Fee Projections" sheetId="6" r:id="rId6"/>
    <sheet name="treasury-ledger" sheetId="7" r:id="rId7"/>
    <sheet name="venture-fee-projections" sheetId="8" r:id="rId8"/>
  </sheets>
  <definedNames>
    <definedName name="Result">'Out - Result'!$B$1</definedName>
    <definedName name="CoverageAnalysis">'Out - Coverage Analysis'!$A$1:$B$4</definedName>
    <definedName name="CurrentTreasuryBalance">'Out - Ledger Totals'!$C$5</definedName>
    <definedName name="NetTotal">'Out - Ledger Totals'!$B$4</definedName>
    <definedName name="TotalInflows">'Out - Ledger Totals'!$B$2</definedName>
    <definedName name="TotalOutflows">'Out - Ledger Totals'!$B$3</definedName>
    <definedName name="LedgerSummary">'Out - Ledger Summary'!$A:$D</definedName>
    <definedName name="FeeTotals">'Out - Fee Totals'!$A$1:$B$5</definedName>
    <definedName name="FeeProjections">'Out - Fee Projections'!$A:$F</definedName>
  </definedName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<sst xmlns="http://schemas.openxmlformats.org/spreadsheetml/2006/main" count="27" uniqueCount="20">
  <si>
    <t>RESULT</t>
  </si>
  <si>
    <t>COVERAGE ANALYSIS</t>
  </si>
  <si>
    <t>Amount</t>
  </si>
  <si>
    <t>Current Treasury Balance</t>
  </si>
  <si>
    <t>Total Unpaid Fees</t>
  </si>
  <si>
    <t>Surplus / (Shortfall)</t>
  </si>
  <si>
    <t>LEDGER TOTALS</t>
  </si>
  <si>
    <t>Total Inflows</t>
  </si>
  <si>
    <t>Total Outflows</t>
  </si>
  <si>
    <t>Net Total</t>
  </si>
  <si>
    <t>Source</t>
  </si>
  <si>
    <t># Transactions</t>
  </si>
  <si>
    <t>Total Amount</t>
  </si>
  <si>
    <t>Category</t>
  </si>
  <si>
    <t>FEE TOTALS</t>
  </si>
  <si>
    <t>Estimated Total</t>
  </si>
  <si>
    <t>Paid (Cash)</t>
  </si>
  <si>
    <t>Paid (Cashless)</t>
  </si>
  <si>
    <t>Unpaid</t>
  </si>
  <si>
    <t>Recipient</t>
  </si>
</sst>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&quot;$&quot;#,##0.00;\(&quot;$&quot;#,##0.00\)"/>
  </numFmts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70C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5" fontId="3" fillId="0" borderId="0" xfId="0" applyFont="1" applyAlignment="1" applyNumberForma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166" fontId="0" fillId="0" borderId="0" xfId="0" applyAlignment="1" applyNumberFormat="1">
      <alignment horizontal="right"/>
    </xf>
    <xf numFmtId="165" fontId="0" fillId="0" borderId="0" xfId="0" applyAlignment="1" applyNumberForma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styles" Target="styles.xml"></Relationship><Relationship Id="rId10" Type="http://schemas.openxmlformats.org/officeDocument/2006/relationships/sharedStrings" Target="sharedStrings.xml"></Relationship><Relationship Id="rId11" Type="http://schemas.openxmlformats.org/officeDocument/2006/relationships/sheetMetadata" Target="metadata.xml"></Relationship></Relationships>
</file>

<file path=xl/worksheets/sheet1.xml><?xml version="1.0" encoding="utf-8"?>
<worksheet xmlns="http://schemas.openxmlformats.org/spreadsheetml/2006/main">
  <cols>
    <col min="1" max="1" width="6.6640625" customWidth="1"/>
    <col min="3" max="3" width="38.33203125" customWidth="1"/>
  </cols>
  <sheetData>
    <row r="1">
      <c r="A1" s="1" t="s">
        <v>0</v>
      </c>
      <c r="B1" t="str">
        <f>IF('Out - Coverage Analysis'!B4&gt;=0,"✅ YES","❌ NO")</f>
        <v>✅ YES</v>
      </c>
    </row>
  </sheetData>
</worksheet>
</file>

<file path=xl/worksheets/sheet2.xml><?xml version="1.0" encoding="utf-8"?>
<worksheet xmlns="http://schemas.openxmlformats.org/spreadsheetml/2006/main">
  <cols>
    <col min="1" max="1" width="20.5" customWidth="1"/>
    <col min="2" max="2" width="12.1640625" customWidth="1"/>
    <col min="3" max="3" width="11.1640625" customWidth="1"/>
  </cols>
  <sheetData>
    <row r="1">
      <c r="A1" s="2" t="s">
        <v>1</v>
      </c>
      <c r="B1" t="s">
        <v>2</v>
      </c>
    </row>
    <row r="2">
      <c r="A2" s="1" t="s">
        <v>3</v>
      </c>
      <c r="B2" s="3">
        <f>'treasury-ledger'!G2/100</f>
        <v>0</v>
      </c>
    </row>
    <row r="3">
      <c r="A3" s="1" t="s">
        <v>4</v>
      </c>
      <c r="B3" s="3">
        <f>(SUM('venture-fee-projections'!E2:E1000)-SUM('venture-fee-projections'!F2:F1000)-SUM('venture-fee-projections'!G2:G1000))/100</f>
        <v>0</v>
      </c>
    </row>
    <row r="4">
      <c r="A4" s="1" t="s">
        <v>5</v>
      </c>
      <c r="B4" s="3">
        <f>B2-B3</f>
        <v>0</v>
      </c>
    </row>
  </sheetData>
</worksheet>
</file>

<file path=xl/worksheets/sheet3.xml><?xml version="1.0" encoding="utf-8"?>
<worksheet xmlns="http://schemas.openxmlformats.org/spreadsheetml/2006/main">
  <cols>
    <col min="1" max="1" width="20.5" customWidth="1"/>
    <col min="2" max="2" width="19.1640625" customWidth="1"/>
    <col min="3" max="3" width="12.6640625" customWidth="1"/>
    <col min="4" max="4" width="18.6640625" customWidth="1"/>
  </cols>
  <sheetData>
    <row r="1">
      <c r="A1" s="2" t="s">
        <v>6</v>
      </c>
    </row>
    <row r="2">
      <c r="A2" s="1" t="s">
        <v>7</v>
      </c>
      <c r="B2" s="3">
        <f>SUMIF('treasury-ledger'!F:F,"&gt;0",'treasury-ledger'!F:F)/100</f>
        <v>0</v>
      </c>
    </row>
    <row r="3">
      <c r="A3" s="1" t="s">
        <v>8</v>
      </c>
      <c r="B3" s="3">
        <f>SUMIF('treasury-ledger'!F:F,"&lt;0",'treasury-ledger'!F:F)/100</f>
        <v>0</v>
      </c>
    </row>
    <row r="4">
      <c r="A4" s="1" t="s">
        <v>9</v>
      </c>
      <c r="B4" s="3">
        <f>B2+B3</f>
        <v>0</v>
      </c>
    </row>
    <row r="5">
      <c r="A5" s="1" t="s">
        <v>3</v>
      </c>
      <c r="B5" s="3" t="e">
        <f>INDEX('treasury-ledger'!G:G,2)/100</f>
        <v>#REF!</v>
      </c>
      <c r="C5" s="4" t="e">
        <f>INDEX('treasury-ledger'!G:G,2)/100</f>
        <v>#REF!</v>
      </c>
    </row>
  </sheetData>
</worksheet>
</file>

<file path=xl/worksheets/sheet4.xml><?xml version="1.0" encoding="utf-8"?>
<worksheet xmlns="http://schemas.openxmlformats.org/spreadsheetml/2006/main">
  <cols>
    <col min="1" max="1" width="24.33203125" customWidth="1"/>
    <col min="2" max="2" width="11.83203125" customWidth="1"/>
    <col min="3" max="3" width="12.6640625" customWidth="1"/>
    <col min="4" max="4" width="18" customWidth="1"/>
  </cols>
  <sheetData>
    <row r="1">
      <c r="A1" s="5" t="s">
        <v>10</v>
      </c>
      <c r="B1" s="6" t="s">
        <v>11</v>
      </c>
      <c r="C1" s="6" t="s">
        <v>12</v>
      </c>
      <c r="D1" s="5" t="s">
        <v>13</v>
      </c>
    </row>
    <row r="2">
      <c r="A2" t="str" cm="1">
        <f t="array" ref="A2">_xlfn._xlws.SORT(_xlfn.UNIQUE(_xlfn._xlws.FILTER('treasury-ledger'!E2:E1000,'treasury-ledger'!E2:E1000&lt;&gt;"")))</f>
        <v>#CALC!</v>
      </c>
      <c r="B2" s="7" cm="1">
        <f t="array" ref="B2">COUNTIFS('treasury-ledger'!E:E,_xlfn.ANCHORARRAY(A2))</f>
        <v>0</v>
      </c>
      <c r="C2" s="8" cm="1">
        <f t="array" ref="C2">SUMIFS('treasury-ledger'!F:F,'treasury-ledger'!E:E,_xlfn.ANCHORARRAY(A2))/100</f>
        <v>0</v>
      </c>
      <c r="D2" t="str" cm="1">
        <f t="array" ref="D2">IF(SUMIFS('treasury-ledger'!F:F,'treasury-ledger'!E:E,_xlfn.ANCHORARRAY(A2))&gt;0,"Inflow","Outflow")</f>
        <v>Outflow</v>
      </c>
    </row>
  </sheetData>
</worksheet>
</file>

<file path=xl/worksheets/sheet5.xml><?xml version="1.0" encoding="utf-8"?>
<worksheet xmlns="http://schemas.openxmlformats.org/spreadsheetml/2006/main">
  <cols>
    <col min="1" max="1" width="20.83203125" customWidth="1"/>
    <col min="2" max="2" width="15" customWidth="1"/>
    <col min="3" max="3" width="11.1640625" customWidth="1"/>
    <col min="4" max="4" width="10.1640625" customWidth="1"/>
    <col min="5" max="5" width="5.6640625" customWidth="1"/>
    <col min="6" max="6" width="10.1640625" customWidth="1"/>
  </cols>
  <sheetData>
    <row r="1">
      <c r="A1" s="2" t="s">
        <v>14</v>
      </c>
      <c r="B1" t="s">
        <v>2</v>
      </c>
    </row>
    <row r="2">
      <c r="A2" s="1" t="s">
        <v>15</v>
      </c>
      <c r="B2" s="3" t="str" cm="1">
        <f t="array" ref="B2">SUM(_xlfn.ANCHORARRAY('Out - Fee Projections'!C2))</f>
        <v>#CALC!</v>
      </c>
    </row>
    <row r="3">
      <c r="A3" s="1" t="s">
        <v>16</v>
      </c>
    </row>
    <row r="4">
      <c r="A4" s="1" t="s">
        <v>17</v>
      </c>
    </row>
    <row r="5">
      <c r="A5" s="1" t="s">
        <v>18</v>
      </c>
    </row>
  </sheetData>
</worksheet>
</file>

<file path=xl/worksheets/sheet6.xml><?xml version="1.0" encoding="utf-8"?>
<worksheet xmlns="http://schemas.openxmlformats.org/spreadsheetml/2006/main">
  <cols>
    <col min="1" max="1" width="21.83203125" customWidth="1"/>
    <col min="2" max="2" width="9.33203125" customWidth="1"/>
    <col min="3" max="3" width="13" customWidth="1"/>
    <col min="4" max="4" width="10.1640625" customWidth="1"/>
    <col min="5" max="5" width="12.1640625" customWidth="1"/>
    <col min="6" max="6" width="10.1640625" customWidth="1"/>
  </cols>
  <sheetData>
    <row r="1">
      <c r="A1" s="5" t="s">
        <v>13</v>
      </c>
      <c r="B1" s="5" t="s">
        <v>19</v>
      </c>
      <c r="C1" s="6" t="s">
        <v>15</v>
      </c>
      <c r="D1" s="6" t="s">
        <v>16</v>
      </c>
      <c r="E1" s="6" t="s">
        <v>17</v>
      </c>
      <c r="F1" s="6" t="s">
        <v>18</v>
      </c>
    </row>
    <row r="2">
      <c r="A2" t="str" cm="1">
        <f t="array" ref="A2">_xlfn._xlws.FILTER('venture-fee-projections'!B2:B1000,'venture-fee-projections'!B2:B1000&lt;&gt;"")</f>
        <v>#CALC!</v>
      </c>
      <c r="B2" t="str" cm="1">
        <f t="array" ref="B2">_xlfn._xlws.FILTER('venture-fee-projections'!D2:D1000,'venture-fee-projections'!B2:B1000&lt;&gt;"")</f>
        <v>#CALC!</v>
      </c>
      <c r="C2" s="9" t="str" cm="1">
        <f t="array" ref="C2">_xlfn._xlws.FILTER('venture-fee-projections'!E2:E1000,'venture-fee-projections'!B2:B1000&lt;&gt;"")/100</f>
        <v>#CALC!</v>
      </c>
      <c r="D2" s="9" t="str" cm="1">
        <f t="array" ref="D2">_xlfn._xlws.FILTER('venture-fee-projections'!F2:F1000,'venture-fee-projections'!B2:B1000&lt;&gt;"")/100</f>
        <v>#CALC!</v>
      </c>
      <c r="E2" s="9" t="str" cm="1">
        <f t="array" ref="E2">_xlfn._xlws.FILTER('venture-fee-projections'!G2:G1000,'venture-fee-projections'!B2:B1000&lt;&gt;"")/100</f>
        <v>#CALC!</v>
      </c>
      <c r="F2" s="9" t="str" cm="1">
        <f t="array" ref="F2">_xlfn.ANCHORARRAY(C2)-_xlfn.ANCHORARRAY(D2)-_xlfn.ANCHORARRAY(E2)</f>
        <v>#CALC!</v>
      </c>
    </row>
  </sheetData>
</worksheet>
</file>

<file path=xl/worksheets/sheet7.xml><?xml version="1.0" encoding="utf-8"?>
<worksheet xmlns="http://schemas.openxmlformats.org/spreadsheetml/2006/main">
  <sheetData/>
</worksheet>
</file>

<file path=xl/worksheets/sheet8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Werkbook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 - Result</vt:lpstr>
      <vt:lpstr>Out - Coverage Analysis</vt:lpstr>
      <vt:lpstr>Out - Ledger Totals</vt:lpstr>
      <vt:lpstr>Out - Ledger Summary</vt:lpstr>
      <vt:lpstr>Out - Fee Totals</vt:lpstr>
      <vt:lpstr>Out - Fee Projections</vt:lpstr>
      <vt:lpstr>treasury-ledger</vt:lpstr>
      <vt:lpstr>venture-fee-projections</vt:lpstr>
    </vt:vector>
  </TitlesOfParts>
  <Company/>
  <LinksUpToDate>false</LinksUpToDate>
  <SharedDoc>false</SharedDoc>
  <HyperlinksChanged>false</HyperlinksChanged>
  <AppVersion>1.0</AppVersion>
</Properties>
</file>